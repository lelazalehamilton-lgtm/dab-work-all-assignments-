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b86d634fb237dd/Desktop/"/>
    </mc:Choice>
  </mc:AlternateContent>
  <xr:revisionPtr revIDLastSave="0" documentId="8_{F52BB095-9965-4BB7-AE49-548E6AAD1FA8}" xr6:coauthVersionLast="47" xr6:coauthVersionMax="47" xr10:uidLastSave="{00000000-0000-0000-0000-000000000000}"/>
  <bookViews>
    <workbookView xWindow="-108" yWindow="-108" windowWidth="23256" windowHeight="12576" xr2:uid="{8D5A44FD-09BF-4856-8B6E-F72390F254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I19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2" i="1"/>
  <c r="F19" i="1"/>
  <c r="F20" i="1"/>
</calcChain>
</file>

<file path=xl/sharedStrings.xml><?xml version="1.0" encoding="utf-8"?>
<sst xmlns="http://schemas.openxmlformats.org/spreadsheetml/2006/main" count="42" uniqueCount="14">
  <si>
    <t>Date</t>
  </si>
  <si>
    <t>Product</t>
  </si>
  <si>
    <t>Quantity Sold</t>
  </si>
  <si>
    <t>Unit Price</t>
  </si>
  <si>
    <t>Revenue</t>
  </si>
  <si>
    <t>Target Revenue</t>
  </si>
  <si>
    <t>Laptops</t>
  </si>
  <si>
    <t>Smartphones</t>
  </si>
  <si>
    <t>Tablets</t>
  </si>
  <si>
    <t>Accessories</t>
  </si>
  <si>
    <t>Total Revenue</t>
  </si>
  <si>
    <t>Average</t>
  </si>
  <si>
    <t>Profit</t>
  </si>
  <si>
    <t>Highest Quarter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</si>
</sst>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6" fontId="0" fillId="0" borderId="0" xfId="0" applyNumberFormat="1"/>
    <xf numFmtId="6" fontId="1" fillId="0" borderId="0" xfId="0" applyNumberFormat="1" applyFont="1"/>
    <xf numFmtId="6" fontId="2" fillId="0" borderId="0" xfId="0" applyNumberFormat="1" applyFont="1"/>
    <xf numFmtId="0" fontId="3" fillId="0" borderId="0" xfId="0" applyFont="1"/>
    <xf numFmtId="8" fontId="0" fillId="0" borderId="0" xfId="0" applyNumberFormat="1"/>
  </cellXfs>
  <cellStyles count="1">
    <cellStyle name="Normal" xfId="0" builtinId="0"/>
  </cellStyles>
  <dxfs count="6"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409F-4D48-4970-81A5-A1530CBDDACC}">
  <dimension ref="A1:M20"/>
  <sheetViews>
    <sheetView tabSelected="1" workbookViewId="0">
      <selection activeCell="J21" sqref="J21"/>
    </sheetView>
  </sheetViews>
  <sheetFormatPr defaultRowHeight="14.4" x14ac:dyDescent="0.3"/>
  <cols>
    <col min="1" max="1" width="12.6640625" bestFit="1" customWidth="1"/>
    <col min="4" max="4" width="11.88671875" bestFit="1" customWidth="1"/>
    <col min="6" max="6" width="9.109375" bestFit="1" customWidth="1"/>
    <col min="7" max="7" width="13.77734375" bestFit="1" customWidth="1"/>
    <col min="8" max="8" width="10.77734375" bestFit="1" customWidth="1"/>
    <col min="9" max="9" width="11.6640625" bestFit="1" customWidth="1"/>
    <col min="10" max="10" width="15.5546875" bestFit="1" customWidth="1"/>
  </cols>
  <sheetData>
    <row r="1" spans="1:13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2" t="s">
        <v>4</v>
      </c>
      <c r="G1" s="1" t="s">
        <v>5</v>
      </c>
      <c r="I1" s="6" t="s">
        <v>12</v>
      </c>
      <c r="J1" s="6" t="s">
        <v>13</v>
      </c>
      <c r="M1">
        <v>0.15</v>
      </c>
    </row>
    <row r="2" spans="1:13" x14ac:dyDescent="0.3">
      <c r="A2" s="1" t="s">
        <v>0</v>
      </c>
      <c r="B2" s="1" t="s">
        <v>6</v>
      </c>
      <c r="C2" s="1"/>
      <c r="D2" s="1">
        <v>45</v>
      </c>
      <c r="E2" s="4">
        <v>899</v>
      </c>
      <c r="F2" s="5">
        <v>40455</v>
      </c>
      <c r="G2" s="4">
        <v>38000</v>
      </c>
      <c r="H2" t="str">
        <f>IF(F2&gt;G2,"above target",IF(F2=G2,"met target","below target"))</f>
        <v>above target</v>
      </c>
      <c r="I2" s="7">
        <f>F2*$M$1</f>
        <v>6068.25</v>
      </c>
      <c r="J2" t="str">
        <f>IF(VALUE(F2)=MAX(VALUE($F$2),VALUE($F$3),VALUE($F$4),VALUE($F$5)),"Highest in Quarter","")</f>
        <v/>
      </c>
    </row>
    <row r="3" spans="1:13" x14ac:dyDescent="0.3">
      <c r="A3" s="1" t="s">
        <v>0</v>
      </c>
      <c r="B3" s="1" t="s">
        <v>7</v>
      </c>
      <c r="C3" s="1"/>
      <c r="D3" s="1">
        <v>120</v>
      </c>
      <c r="E3" s="4">
        <v>699</v>
      </c>
      <c r="F3" s="5">
        <v>83880</v>
      </c>
      <c r="G3" s="4">
        <v>80000</v>
      </c>
      <c r="H3" t="str">
        <f t="shared" ref="H3:H17" si="0">IF(F3&gt;G3,"above target",IF(F3=G3,"met target","below target"))</f>
        <v>above target</v>
      </c>
      <c r="I3" s="7">
        <f t="shared" ref="I3:I17" si="1">F3*$M$1</f>
        <v>12582</v>
      </c>
      <c r="J3" t="str">
        <f t="shared" ref="J3:J17" si="2">IF(VALUE(F3)=MAX(VALUE($F$2),VALUE($F$3),VALUE($F$4),VALUE($F$5)),"Highest in Quarter","")</f>
        <v>Highest in Quarter</v>
      </c>
    </row>
    <row r="4" spans="1:13" x14ac:dyDescent="0.3">
      <c r="A4" s="1" t="s">
        <v>0</v>
      </c>
      <c r="B4" s="1" t="s">
        <v>8</v>
      </c>
      <c r="C4" s="1"/>
      <c r="D4" s="1">
        <v>80</v>
      </c>
      <c r="E4" s="4">
        <v>349</v>
      </c>
      <c r="F4" s="5">
        <v>27920</v>
      </c>
      <c r="G4" s="4">
        <v>25000</v>
      </c>
      <c r="H4" t="str">
        <f t="shared" si="0"/>
        <v>above target</v>
      </c>
      <c r="I4" s="7">
        <f t="shared" si="1"/>
        <v>4188</v>
      </c>
      <c r="J4" t="str">
        <f t="shared" si="2"/>
        <v/>
      </c>
    </row>
    <row r="5" spans="1:13" x14ac:dyDescent="0.3">
      <c r="A5" s="1" t="s">
        <v>0</v>
      </c>
      <c r="B5" s="1" t="s">
        <v>9</v>
      </c>
      <c r="C5" s="1"/>
      <c r="D5" s="1">
        <v>250</v>
      </c>
      <c r="E5" s="4">
        <v>59</v>
      </c>
      <c r="F5" s="5">
        <v>14750</v>
      </c>
      <c r="G5" s="4">
        <v>14000</v>
      </c>
      <c r="H5" t="str">
        <f t="shared" si="0"/>
        <v>above target</v>
      </c>
      <c r="I5" s="7">
        <f t="shared" si="1"/>
        <v>2212.5</v>
      </c>
      <c r="J5" t="str">
        <f t="shared" si="2"/>
        <v/>
      </c>
    </row>
    <row r="6" spans="1:13" x14ac:dyDescent="0.3">
      <c r="A6" s="1" t="s">
        <v>0</v>
      </c>
      <c r="B6" s="1" t="s">
        <v>6</v>
      </c>
      <c r="C6" s="1"/>
      <c r="D6" s="1">
        <v>52</v>
      </c>
      <c r="E6" s="4">
        <v>899</v>
      </c>
      <c r="F6" s="5">
        <v>46748</v>
      </c>
      <c r="G6" s="4">
        <v>45000</v>
      </c>
      <c r="H6" t="str">
        <f t="shared" si="0"/>
        <v>above target</v>
      </c>
      <c r="I6" s="7">
        <f t="shared" si="1"/>
        <v>7012.2</v>
      </c>
      <c r="J6" t="str">
        <f t="shared" si="2"/>
        <v/>
      </c>
    </row>
    <row r="7" spans="1:13" x14ac:dyDescent="0.3">
      <c r="A7" s="1" t="s">
        <v>0</v>
      </c>
      <c r="B7" s="1" t="s">
        <v>7</v>
      </c>
      <c r="C7" s="1"/>
      <c r="D7" s="1">
        <v>135</v>
      </c>
      <c r="E7" s="4">
        <v>699</v>
      </c>
      <c r="F7" s="5">
        <v>94365</v>
      </c>
      <c r="G7" s="4">
        <v>90000</v>
      </c>
      <c r="H7" t="str">
        <f t="shared" si="0"/>
        <v>above target</v>
      </c>
      <c r="I7" s="7">
        <f t="shared" si="1"/>
        <v>14154.75</v>
      </c>
      <c r="J7" t="str">
        <f t="shared" si="2"/>
        <v/>
      </c>
    </row>
    <row r="8" spans="1:13" x14ac:dyDescent="0.3">
      <c r="A8" s="1" t="s">
        <v>0</v>
      </c>
      <c r="B8" s="1" t="s">
        <v>8</v>
      </c>
      <c r="C8" s="1"/>
      <c r="D8" s="1">
        <v>95</v>
      </c>
      <c r="E8" s="4">
        <v>349</v>
      </c>
      <c r="F8" s="5">
        <v>33155</v>
      </c>
      <c r="G8" s="4">
        <v>32000</v>
      </c>
      <c r="H8" t="str">
        <f t="shared" si="0"/>
        <v>above target</v>
      </c>
      <c r="I8" s="7">
        <f t="shared" si="1"/>
        <v>4973.25</v>
      </c>
      <c r="J8" t="str">
        <f t="shared" si="2"/>
        <v/>
      </c>
    </row>
    <row r="9" spans="1:13" x14ac:dyDescent="0.3">
      <c r="A9" s="1" t="s">
        <v>0</v>
      </c>
      <c r="B9" s="1" t="s">
        <v>9</v>
      </c>
      <c r="C9" s="1"/>
      <c r="D9" s="1">
        <v>310</v>
      </c>
      <c r="E9" s="4">
        <v>59</v>
      </c>
      <c r="F9" s="5">
        <v>18290</v>
      </c>
      <c r="G9" s="4">
        <v>17000</v>
      </c>
      <c r="H9" t="str">
        <f t="shared" si="0"/>
        <v>above target</v>
      </c>
      <c r="I9" s="7">
        <f t="shared" si="1"/>
        <v>2743.5</v>
      </c>
      <c r="J9" t="str">
        <f t="shared" si="2"/>
        <v/>
      </c>
    </row>
    <row r="10" spans="1:13" x14ac:dyDescent="0.3">
      <c r="A10" s="1" t="s">
        <v>0</v>
      </c>
      <c r="B10" s="1" t="s">
        <v>6</v>
      </c>
      <c r="C10" s="1"/>
      <c r="D10" s="1">
        <v>38</v>
      </c>
      <c r="E10" s="4">
        <v>899</v>
      </c>
      <c r="F10" s="5">
        <v>34162</v>
      </c>
      <c r="G10" s="4">
        <v>35000</v>
      </c>
      <c r="H10" t="str">
        <f t="shared" si="0"/>
        <v>below target</v>
      </c>
      <c r="I10" s="7">
        <f t="shared" si="1"/>
        <v>5124.3</v>
      </c>
      <c r="J10" t="str">
        <f t="shared" si="2"/>
        <v/>
      </c>
    </row>
    <row r="11" spans="1:13" x14ac:dyDescent="0.3">
      <c r="A11" s="1" t="s">
        <v>0</v>
      </c>
      <c r="B11" s="1" t="s">
        <v>7</v>
      </c>
      <c r="C11" s="1"/>
      <c r="D11" s="1">
        <v>140</v>
      </c>
      <c r="E11" s="4">
        <v>699</v>
      </c>
      <c r="F11" s="5">
        <v>97860</v>
      </c>
      <c r="G11" s="4">
        <v>95000</v>
      </c>
      <c r="H11" t="str">
        <f t="shared" si="0"/>
        <v>above target</v>
      </c>
      <c r="I11" s="7">
        <f t="shared" si="1"/>
        <v>14679</v>
      </c>
      <c r="J11" t="str">
        <f t="shared" si="2"/>
        <v/>
      </c>
    </row>
    <row r="12" spans="1:13" x14ac:dyDescent="0.3">
      <c r="A12" s="1" t="s">
        <v>0</v>
      </c>
      <c r="B12" s="1" t="s">
        <v>8</v>
      </c>
      <c r="C12" s="1"/>
      <c r="D12" s="1">
        <v>70</v>
      </c>
      <c r="E12" s="4">
        <v>349</v>
      </c>
      <c r="F12" s="5">
        <v>24430</v>
      </c>
      <c r="G12" s="4">
        <v>24000</v>
      </c>
      <c r="H12" t="str">
        <f t="shared" si="0"/>
        <v>above target</v>
      </c>
      <c r="I12" s="7">
        <f t="shared" si="1"/>
        <v>3664.5</v>
      </c>
      <c r="J12" t="str">
        <f t="shared" si="2"/>
        <v/>
      </c>
    </row>
    <row r="13" spans="1:13" x14ac:dyDescent="0.3">
      <c r="A13" s="1" t="s">
        <v>0</v>
      </c>
      <c r="B13" s="1" t="s">
        <v>9</v>
      </c>
      <c r="C13" s="1"/>
      <c r="D13" s="1">
        <v>280</v>
      </c>
      <c r="E13" s="4">
        <v>59</v>
      </c>
      <c r="F13" s="5">
        <v>16520</v>
      </c>
      <c r="G13" s="4">
        <v>16000</v>
      </c>
      <c r="H13" t="str">
        <f t="shared" si="0"/>
        <v>above target</v>
      </c>
      <c r="I13" s="7">
        <f t="shared" si="1"/>
        <v>2478</v>
      </c>
      <c r="J13" t="str">
        <f t="shared" si="2"/>
        <v/>
      </c>
    </row>
    <row r="14" spans="1:13" x14ac:dyDescent="0.3">
      <c r="A14" s="1" t="s">
        <v>0</v>
      </c>
      <c r="B14" s="1" t="s">
        <v>6</v>
      </c>
      <c r="C14" s="1"/>
      <c r="D14" s="1">
        <v>65</v>
      </c>
      <c r="E14" s="4">
        <v>899</v>
      </c>
      <c r="F14" s="5">
        <v>58435</v>
      </c>
      <c r="G14" s="4">
        <v>55000</v>
      </c>
      <c r="H14" t="str">
        <f t="shared" si="0"/>
        <v>above target</v>
      </c>
      <c r="I14" s="7">
        <f t="shared" si="1"/>
        <v>8765.25</v>
      </c>
      <c r="J14" t="str">
        <f t="shared" si="2"/>
        <v/>
      </c>
    </row>
    <row r="15" spans="1:13" x14ac:dyDescent="0.3">
      <c r="A15" s="1" t="s">
        <v>0</v>
      </c>
      <c r="B15" s="1" t="s">
        <v>7</v>
      </c>
      <c r="C15" s="1"/>
      <c r="D15" s="1">
        <v>180</v>
      </c>
      <c r="E15" s="4">
        <v>699</v>
      </c>
      <c r="F15" s="5">
        <v>125820</v>
      </c>
      <c r="G15" s="4">
        <v>120000</v>
      </c>
      <c r="H15" t="str">
        <f t="shared" si="0"/>
        <v>above target</v>
      </c>
      <c r="I15" s="7">
        <f t="shared" si="1"/>
        <v>18873</v>
      </c>
      <c r="J15" t="str">
        <f t="shared" si="2"/>
        <v/>
      </c>
    </row>
    <row r="16" spans="1:13" x14ac:dyDescent="0.3">
      <c r="A16" s="1" t="s">
        <v>0</v>
      </c>
      <c r="B16" s="1" t="s">
        <v>8</v>
      </c>
      <c r="C16" s="1"/>
      <c r="D16" s="1">
        <v>110</v>
      </c>
      <c r="E16" s="4">
        <v>349</v>
      </c>
      <c r="F16" s="5">
        <v>38390</v>
      </c>
      <c r="G16" s="4">
        <v>36000</v>
      </c>
      <c r="H16" t="str">
        <f t="shared" si="0"/>
        <v>above target</v>
      </c>
      <c r="I16" s="7">
        <f t="shared" si="1"/>
        <v>5758.5</v>
      </c>
      <c r="J16" t="str">
        <f t="shared" si="2"/>
        <v/>
      </c>
    </row>
    <row r="17" spans="1:10" x14ac:dyDescent="0.3">
      <c r="A17" s="1" t="s">
        <v>0</v>
      </c>
      <c r="B17" s="1" t="s">
        <v>9</v>
      </c>
      <c r="C17" s="1"/>
      <c r="D17" s="1">
        <v>350</v>
      </c>
      <c r="E17" s="4">
        <v>59</v>
      </c>
      <c r="F17" s="5">
        <v>20650</v>
      </c>
      <c r="G17" s="4">
        <v>20000</v>
      </c>
      <c r="H17" t="str">
        <f t="shared" si="0"/>
        <v>above target</v>
      </c>
      <c r="I17" s="7">
        <f t="shared" si="1"/>
        <v>3097.5</v>
      </c>
      <c r="J17" t="str">
        <f t="shared" si="2"/>
        <v/>
      </c>
    </row>
    <row r="19" spans="1:10" x14ac:dyDescent="0.3">
      <c r="A19" s="1" t="s">
        <v>10</v>
      </c>
      <c r="F19" s="3">
        <f>SUM(F2:F17)</f>
        <v>775830</v>
      </c>
      <c r="I19" s="7">
        <f>SUM(I2:I18)</f>
        <v>116374.5</v>
      </c>
    </row>
    <row r="20" spans="1:10" x14ac:dyDescent="0.3">
      <c r="A20" s="1" t="s">
        <v>11</v>
      </c>
      <c r="F20" s="3">
        <f>AVERAGE(F2:F17)</f>
        <v>48489.375</v>
      </c>
    </row>
  </sheetData>
  <conditionalFormatting sqref="H1:H1048576">
    <cfRule type="aboveAverage" dxfId="5" priority="3"/>
  </conditionalFormatting>
  <conditionalFormatting sqref="I2:I17">
    <cfRule type="aboveAverage" dxfId="0" priority="2"/>
    <cfRule type="aboveAverage" dxfId="1" priority="1" aboveAverage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lela hamilton</dc:creator>
  <cp:lastModifiedBy>lela hamilton</cp:lastModifiedBy>
  <dcterms:created xsi:type="dcterms:W3CDTF">2026-01-07T01:34:07Z</dcterms:created>
  <dcterms:modified xsi:type="dcterms:W3CDTF">2026-01-07T03:42:07Z</dcterms:modified>
</cp:coreProperties>
</file>